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8DAE651-7F85-4E88-A3E4-EF63E36BD7E8}" xr6:coauthVersionLast="47" xr6:coauthVersionMax="47" xr10:uidLastSave="{00000000-0000-0000-0000-000000000000}"/>
  <bookViews>
    <workbookView xWindow="-110" yWindow="-110" windowWidth="19420" windowHeight="11020" activeTab="1" xr2:uid="{4D7A9C37-F902-46DF-96D2-18437B4BF362}"/>
  </bookViews>
  <sheets>
    <sheet name="Sheet2" sheetId="3" r:id="rId1"/>
    <sheet name="Sheet3" sheetId="4" r:id="rId2"/>
    <sheet name="Sheet4" sheetId="5" state="hidden" r:id="rId3"/>
    <sheet name="Sheet5" sheetId="6" state="hidden" r:id="rId4"/>
    <sheet name="movies_datasethhh" sheetId="2" r:id="rId5"/>
    <sheet name="Sheet1" sheetId="1" state="hidden" r:id="rId6"/>
  </sheets>
  <definedNames>
    <definedName name="_xlchart.v1.0" hidden="1">movies_datasethhh!$I$2:$I$26</definedName>
    <definedName name="_xlchart.v1.1" hidden="1">movies_datasethhh!$I$9:$I$33</definedName>
    <definedName name="_xlchart.v1.2" hidden="1">movies_datasethhh!$I$2:$I$26</definedName>
    <definedName name="_xlchart.v1.3" hidden="1">movies_datasethhh!$I$2:$I$26</definedName>
    <definedName name="_xlchart.v1.4" hidden="1">movies_datasethhh!$I$9:$I$33</definedName>
    <definedName name="ExternalData_1" localSheetId="4" hidden="1">movies_datasethhh!$A$1:$I$21</definedName>
  </definedNames>
  <calcPr calcId="191029"/>
  <pivotCaches>
    <pivotCache cacheId="6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" l="1"/>
  <c r="H26" i="2"/>
  <c r="G26" i="2"/>
  <c r="I25" i="2"/>
  <c r="I24" i="2"/>
  <c r="H24" i="2"/>
  <c r="G24" i="2"/>
  <c r="I23" i="2"/>
  <c r="H23" i="2"/>
  <c r="G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B6E853-E5B4-459D-95EE-1628FC44331B}" keepAlive="1" name="Query - movies_datasethhh" description="Connection to the 'movies_datasethhh' query in the workbook." type="5" refreshedVersion="8" background="1" saveData="1">
    <dbPr connection="Provider=Microsoft.Mashup.OleDb.1;Data Source=$Workbook$;Location=movies_datasethhh;Extended Properties=&quot;&quot;" command="SELECT * FROM [movies_datasethhh]"/>
  </connection>
</connections>
</file>

<file path=xl/sharedStrings.xml><?xml version="1.0" encoding="utf-8"?>
<sst xmlns="http://schemas.openxmlformats.org/spreadsheetml/2006/main" count="116" uniqueCount="47">
  <si>
    <t>MovieID</t>
  </si>
  <si>
    <t>Title</t>
  </si>
  <si>
    <t>Genre</t>
  </si>
  <si>
    <t>ReleaseYear</t>
  </si>
  <si>
    <t>ReleaseDate</t>
  </si>
  <si>
    <t>Country</t>
  </si>
  <si>
    <t>BudgetUSD</t>
  </si>
  <si>
    <t>Global_BoxOfficeUSD</t>
  </si>
  <si>
    <t>IMDbRating</t>
  </si>
  <si>
    <t>Might toward capital</t>
  </si>
  <si>
    <t>Comedy</t>
  </si>
  <si>
    <t>China</t>
  </si>
  <si>
    <t>He however experience</t>
  </si>
  <si>
    <t>USA</t>
  </si>
  <si>
    <t>Star responsibility politics</t>
  </si>
  <si>
    <t>Exactly live</t>
  </si>
  <si>
    <t>Focus improve especially</t>
  </si>
  <si>
    <t>Documentary</t>
  </si>
  <si>
    <t>India</t>
  </si>
  <si>
    <t>Deal reveal fine</t>
  </si>
  <si>
    <t>Drama</t>
  </si>
  <si>
    <t>Drug when</t>
  </si>
  <si>
    <t>Almost option of</t>
  </si>
  <si>
    <t>Horror</t>
  </si>
  <si>
    <t>Film about training</t>
  </si>
  <si>
    <t>Begin difficult world</t>
  </si>
  <si>
    <t>Eight</t>
  </si>
  <si>
    <t>Score by attorney</t>
  </si>
  <si>
    <t>Nice piece near</t>
  </si>
  <si>
    <t>Among money</t>
  </si>
  <si>
    <t>Purpose miss others show</t>
  </si>
  <si>
    <t>Action</t>
  </si>
  <si>
    <t>Similar off</t>
  </si>
  <si>
    <t>Accept past she somebody</t>
  </si>
  <si>
    <t>Memory blue</t>
  </si>
  <si>
    <t>Thriller</t>
  </si>
  <si>
    <t>Sport just score</t>
  </si>
  <si>
    <t>Mrs close hotel</t>
  </si>
  <si>
    <t>Row Labels</t>
  </si>
  <si>
    <t>Grand Total</t>
  </si>
  <si>
    <t>Sum of Global_BoxOfficeUSD</t>
  </si>
  <si>
    <t>Average of Global_BoxOfficeUSD</t>
  </si>
  <si>
    <t>Column Labels</t>
  </si>
  <si>
    <t>MEAN</t>
  </si>
  <si>
    <t>MEDIAN</t>
  </si>
  <si>
    <t>MODE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</si>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</sst>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[Tugas 1 Data Science, Muhammad Raffli.xlsx]Sheet2!PivotTable1</c:name>
    <c:fmtId val="1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Sheet2!$A$4:$A$10</c:f>
              <c:strCache>
                <c:ptCount val="6"/>
                <c:pt idx="0">
                  <c:v>Action</c:v>
                </c:pt>
                <c:pt idx="1">
                  <c:v>Comedy</c:v>
                </c:pt>
                <c:pt idx="2">
                  <c:v>Documentary</c:v>
                </c:pt>
                <c:pt idx="3">
                  <c:v>Drama</c:v>
                </c:pt>
                <c:pt idx="4">
                  <c:v>Horror</c:v>
                </c:pt>
                <c:pt idx="5">
                  <c:v>Thriller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909715427</c:v>
                </c:pt>
                <c:pt idx="1">
                  <c:v>6754229400</c:v>
                </c:pt>
                <c:pt idx="2">
                  <c:v>1110912416</c:v>
                </c:pt>
                <c:pt idx="3">
                  <c:v>7745049355</c:v>
                </c:pt>
                <c:pt idx="4">
                  <c:v>10277004070</c:v>
                </c:pt>
                <c:pt idx="5">
                  <c:v>1717225841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C-4DAC-B9A7-6476E52C19F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[Tugas 1 Data Science, Muhammad Raffli.xlsx]Sheet3!PivotTable2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China</c:v>
                </c:pt>
                <c:pt idx="1">
                  <c:v>India</c:v>
                </c:pt>
                <c:pt idx="2">
                  <c:v>USA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1547203566</c:v>
                </c:pt>
                <c:pt idx="1">
                  <c:v>307633264.66666669</c:v>
                </c:pt>
                <c:pt idx="2">
                  <c:v>1627752071.8125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8-447C-906B-5F3962635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2488767"/>
        <c:axId val="1942486847"/>
      </c:barChart>
      <c:catAx>
        <c:axId val="194248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86847"/>
        <c:crosses val="autoZero"/>
        <c:auto val="1"/>
        <c:lblAlgn val="ctr"/>
        <c:lblOffset val="100"/>
        <c:noMultiLvlLbl val="0"/>
      </c:catAx>
      <c:valAx>
        <c:axId val="194248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8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HISTOGRAM RATING IMDB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RATING IMDB</a:t>
          </a:r>
        </a:p>
      </cx:txPr>
    </cx:title>
    <cx:plotArea>
      <cx:plotAreaRegion>
        <cx:series layoutId="clusteredColumn" uniqueId="{5BEE71E1-D8A1-436B-AB06-97AD506AE56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BOXPLOT RATING IMDB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BOXPLOT RATING IMDB</a:t>
          </a:r>
        </a:p>
      </cx:txPr>
    </cx:title>
    <cx:plotArea>
      <cx:plotAreaRegion>
        <cx:series layoutId="boxWhisker" uniqueId="{A356FDEA-CBF4-40B5-9A5C-66896F938E3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111125</xdr:rowOff>
    </xdr:from>
    <xdr:to>
      <xdr:col>9</xdr:col>
      <xdr:colOff>387350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562524-55F9-7922-006E-6CB7848A3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1</xdr:row>
      <xdr:rowOff>3175</xdr:rowOff>
    </xdr:from>
    <xdr:to>
      <xdr:col>9</xdr:col>
      <xdr:colOff>539750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3FC64-0721-DF9A-3463-D9D89AECE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</xdr:colOff>
      <xdr:row>26</xdr:row>
      <xdr:rowOff>180975</xdr:rowOff>
    </xdr:from>
    <xdr:to>
      <xdr:col>9</xdr:col>
      <xdr:colOff>12700</xdr:colOff>
      <xdr:row>37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CC92442-897C-57DC-E1A1-99B1B72CED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27700" y="4968875"/>
              <a:ext cx="3568700" cy="194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358775</xdr:colOff>
      <xdr:row>25</xdr:row>
      <xdr:rowOff>160337</xdr:rowOff>
    </xdr:from>
    <xdr:to>
      <xdr:col>5</xdr:col>
      <xdr:colOff>133350</xdr:colOff>
      <xdr:row>38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F47F56D-9D63-8BE2-88BD-190413344B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400" y="4724400"/>
              <a:ext cx="4060825" cy="228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ppy" refreshedDate="45924.989231250001" createdVersion="8" refreshedVersion="8" minRefreshableVersion="3" recordCount="25" xr:uid="{92C52FFB-CC49-4F79-8A8F-93AD6AF731E5}">
  <cacheSource type="worksheet">
    <worksheetSource ref="A1:I26" sheet="movies_datasethhh"/>
  </cacheSource>
  <cacheFields count="9">
    <cacheField name="MovieID" numFmtId="0">
      <sharedItems containsString="0" containsBlank="1" containsNumber="1" containsInteger="1" minValue="1" maxValue="20"/>
    </cacheField>
    <cacheField name="Title" numFmtId="0">
      <sharedItems containsBlank="1"/>
    </cacheField>
    <cacheField name="Genre" numFmtId="0">
      <sharedItems containsBlank="1" count="7">
        <s v="Comedy"/>
        <s v="Documentary"/>
        <s v="Drama"/>
        <s v="Horror"/>
        <s v="Action"/>
        <s v="Thriller"/>
        <m/>
      </sharedItems>
    </cacheField>
    <cacheField name="ReleaseYear" numFmtId="0">
      <sharedItems containsString="0" containsBlank="1" containsNumber="1" containsInteger="1" minValue="1963" maxValue="2021"/>
    </cacheField>
    <cacheField name="ReleaseDate" numFmtId="0">
      <sharedItems containsNonDate="0" containsDate="1" containsString="0" containsBlank="1" minDate="1963-08-18T00:00:00" maxDate="2021-12-18T00:00:00"/>
    </cacheField>
    <cacheField name="Country" numFmtId="0">
      <sharedItems containsBlank="1" count="4">
        <s v="China"/>
        <s v="USA"/>
        <s v="India"/>
        <m/>
      </sharedItems>
    </cacheField>
    <cacheField name="BudgetUSD" numFmtId="0">
      <sharedItems containsString="0" containsBlank="1" containsNumber="1" minValue="18838101" maxValue="3088164004"/>
    </cacheField>
    <cacheField name="Global_BoxOfficeUSD" numFmtId="0">
      <sharedItems containsString="0" containsBlank="1" containsNumber="1" minValue="56181029" maxValue="9671088385"/>
    </cacheField>
    <cacheField name="IMDbRating" numFmtId="0">
      <sharedItems containsString="0" containsBlank="1" containsNumber="1" minValue="5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ppy" refreshedDate="45925.026641666664" createdVersion="8" refreshedVersion="8" minRefreshableVersion="3" recordCount="20" xr:uid="{8BE721E6-A8B7-4C24-AB8F-514949900616}">
  <cacheSource type="worksheet">
    <worksheetSource name="movies_datasethhh"/>
  </cacheSource>
  <cacheFields count="9">
    <cacheField name="MovieID" numFmtId="0">
      <sharedItems containsSemiMixedTypes="0" containsString="0" containsNumber="1" containsInteger="1" minValue="1" maxValue="20"/>
    </cacheField>
    <cacheField name="Title" numFmtId="0">
      <sharedItems/>
    </cacheField>
    <cacheField name="Genre" numFmtId="0">
      <sharedItems count="6">
        <s v="Comedy"/>
        <s v="Documentary"/>
        <s v="Drama"/>
        <s v="Horror"/>
        <s v="Action"/>
        <s v="Thriller"/>
      </sharedItems>
    </cacheField>
    <cacheField name="ReleaseYear" numFmtId="0">
      <sharedItems containsSemiMixedTypes="0" containsString="0" containsNumber="1" containsInteger="1" minValue="1963" maxValue="2021"/>
    </cacheField>
    <cacheField name="ReleaseDate" numFmtId="14">
      <sharedItems containsSemiMixedTypes="0" containsNonDate="0" containsDate="1" containsString="0" minDate="1963-08-18T00:00:00" maxDate="2021-12-18T00:00:00"/>
    </cacheField>
    <cacheField name="Country" numFmtId="0">
      <sharedItems count="3">
        <s v="China"/>
        <s v="USA"/>
        <s v="India"/>
      </sharedItems>
    </cacheField>
    <cacheField name="BudgetUSD" numFmtId="0">
      <sharedItems containsSemiMixedTypes="0" containsString="0" containsNumber="1" containsInteger="1" minValue="18838101" maxValue="3088164004"/>
    </cacheField>
    <cacheField name="Global_BoxOfficeUSD" numFmtId="0">
      <sharedItems containsSemiMixedTypes="0" containsString="0" containsNumber="1" containsInteger="1" minValue="56181029" maxValue="9671088385"/>
    </cacheField>
    <cacheField name="IMDbRating" numFmtId="0">
      <sharedItems containsSemiMixedTypes="0" containsString="0" containsNumber="1" containsInteger="1" minValue="5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Might toward capital"/>
    <x v="0"/>
    <n v="2003"/>
    <d v="2003-09-28T00:00:00"/>
    <x v="0"/>
    <n v="657742779"/>
    <n v="1547203566"/>
    <n v="62"/>
  </r>
  <r>
    <n v="2"/>
    <s v="He however experience"/>
    <x v="0"/>
    <n v="1988"/>
    <d v="1988-02-14T00:00:00"/>
    <x v="1"/>
    <n v="18838101"/>
    <n v="363773112"/>
    <n v="52"/>
  </r>
  <r>
    <n v="3"/>
    <s v="Star responsibility politics"/>
    <x v="0"/>
    <n v="1971"/>
    <d v="1971-11-02T00:00:00"/>
    <x v="1"/>
    <n v="246807929"/>
    <n v="716511124"/>
    <n v="55"/>
  </r>
  <r>
    <n v="4"/>
    <s v="Exactly live"/>
    <x v="0"/>
    <n v="1998"/>
    <d v="1998-08-06T00:00:00"/>
    <x v="1"/>
    <n v="144731146"/>
    <n v="437382026"/>
    <n v="73"/>
  </r>
  <r>
    <n v="5"/>
    <s v="Focus improve especially"/>
    <x v="1"/>
    <n v="2021"/>
    <d v="2021-12-17T00:00:00"/>
    <x v="2"/>
    <n v="90091586"/>
    <n v="311301738"/>
    <n v="61"/>
  </r>
  <r>
    <n v="6"/>
    <s v="Deal reveal fine"/>
    <x v="2"/>
    <n v="1996"/>
    <d v="1996-05-09T00:00:00"/>
    <x v="1"/>
    <n v="635605811"/>
    <n v="123321927"/>
    <n v="89"/>
  </r>
  <r>
    <n v="7"/>
    <s v="Drug when"/>
    <x v="0"/>
    <n v="1991"/>
    <d v="1991-09-24T00:00:00"/>
    <x v="1"/>
    <n v="3088164004"/>
    <n v="616333227"/>
    <n v="36"/>
  </r>
  <r>
    <n v="8"/>
    <s v="Almost option of"/>
    <x v="3"/>
    <n v="1990"/>
    <d v="1990-08-04T00:00:00"/>
    <x v="1"/>
    <n v="524974892"/>
    <n v="605915685"/>
    <n v="73"/>
  </r>
  <r>
    <n v="9"/>
    <s v="Film about training"/>
    <x v="2"/>
    <n v="1983"/>
    <d v="1983-03-12T00:00:00"/>
    <x v="1"/>
    <n v="474621815"/>
    <n v="95061399"/>
    <n v="69"/>
  </r>
  <r>
    <n v="10"/>
    <s v="Begin difficult world"/>
    <x v="1"/>
    <n v="2005"/>
    <d v="2005-09-06T00:00:00"/>
    <x v="1"/>
    <n v="135468621"/>
    <n v="674706542"/>
    <n v="84"/>
  </r>
  <r>
    <n v="11"/>
    <s v="Eight"/>
    <x v="1"/>
    <n v="1999"/>
    <d v="1999-09-17T00:00:00"/>
    <x v="1"/>
    <n v="366720198"/>
    <n v="124904136"/>
    <n v="67"/>
  </r>
  <r>
    <n v="12"/>
    <s v="Score by attorney"/>
    <x v="0"/>
    <n v="2001"/>
    <d v="2001-06-29T00:00:00"/>
    <x v="2"/>
    <n v="99557882"/>
    <n v="377145073"/>
    <n v="87"/>
  </r>
  <r>
    <n v="13"/>
    <s v="Nice piece near"/>
    <x v="2"/>
    <n v="1984"/>
    <d v="1984-07-18T00:00:00"/>
    <x v="1"/>
    <n v="34745161"/>
    <n v="472039332"/>
    <n v="44"/>
  </r>
  <r>
    <n v="14"/>
    <s v="Among money"/>
    <x v="2"/>
    <n v="1967"/>
    <d v="1967-05-29T00:00:00"/>
    <x v="1"/>
    <n v="200346613"/>
    <n v="56181029"/>
    <n v="46"/>
  </r>
  <r>
    <n v="15"/>
    <s v="Purpose miss others show"/>
    <x v="4"/>
    <n v="1963"/>
    <d v="1963-08-18T00:00:00"/>
    <x v="1"/>
    <n v="850142016"/>
    <n v="909715427"/>
    <n v="65"/>
  </r>
  <r>
    <n v="16"/>
    <s v="Similar off"/>
    <x v="2"/>
    <n v="1983"/>
    <d v="1983-03-03T00:00:00"/>
    <x v="1"/>
    <n v="2562459173"/>
    <n v="6763992685"/>
    <n v="5"/>
  </r>
  <r>
    <n v="17"/>
    <s v="Accept past she somebody"/>
    <x v="3"/>
    <n v="2019"/>
    <d v="2019-04-07T00:00:00"/>
    <x v="1"/>
    <n v="2010987391"/>
    <n v="9671088385"/>
    <n v="42"/>
  </r>
  <r>
    <n v="18"/>
    <s v="Memory blue"/>
    <x v="5"/>
    <n v="1963"/>
    <d v="1963-09-04T00:00:00"/>
    <x v="1"/>
    <n v="403675647"/>
    <n v="1717225841"/>
    <n v="81"/>
  </r>
  <r>
    <n v="19"/>
    <s v="Sport just score"/>
    <x v="2"/>
    <n v="2009"/>
    <d v="2009-11-23T00:00:00"/>
    <x v="2"/>
    <n v="118435693"/>
    <n v="234452983"/>
    <n v="42"/>
  </r>
  <r>
    <n v="20"/>
    <s v="Mrs close hotel"/>
    <x v="0"/>
    <n v="2004"/>
    <d v="2004-04-05T00:00:00"/>
    <x v="1"/>
    <n v="1675708888"/>
    <n v="2695881272"/>
    <n v="74"/>
  </r>
  <r>
    <m/>
    <m/>
    <x v="6"/>
    <m/>
    <m/>
    <x v="3"/>
    <m/>
    <m/>
    <m/>
  </r>
  <r>
    <m/>
    <m/>
    <x v="6"/>
    <m/>
    <m/>
    <x v="3"/>
    <n v="716991267.29999995"/>
    <n v="1425706825.45"/>
    <n v="60.35"/>
  </r>
  <r>
    <m/>
    <m/>
    <x v="6"/>
    <m/>
    <m/>
    <x v="3"/>
    <n v="385197922.5"/>
    <n v="538977508.5"/>
    <n v="63.5"/>
  </r>
  <r>
    <m/>
    <m/>
    <x v="6"/>
    <m/>
    <m/>
    <x v="3"/>
    <m/>
    <m/>
    <n v="73"/>
  </r>
  <r>
    <m/>
    <m/>
    <x v="6"/>
    <m/>
    <m/>
    <x v="3"/>
    <n v="894578056.65418816"/>
    <n v="2456634414.8917913"/>
    <n v="20.6072930370728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Might toward capital"/>
    <x v="0"/>
    <n v="2003"/>
    <d v="2003-09-28T00:00:00"/>
    <x v="0"/>
    <n v="657742779"/>
    <n v="1547203566"/>
    <n v="62"/>
  </r>
  <r>
    <n v="2"/>
    <s v="He however experience"/>
    <x v="0"/>
    <n v="1988"/>
    <d v="1988-02-14T00:00:00"/>
    <x v="1"/>
    <n v="18838101"/>
    <n v="363773112"/>
    <n v="52"/>
  </r>
  <r>
    <n v="3"/>
    <s v="Star responsibility politics"/>
    <x v="0"/>
    <n v="1971"/>
    <d v="1971-11-02T00:00:00"/>
    <x v="1"/>
    <n v="246807929"/>
    <n v="716511124"/>
    <n v="55"/>
  </r>
  <r>
    <n v="4"/>
    <s v="Exactly live"/>
    <x v="0"/>
    <n v="1998"/>
    <d v="1998-08-06T00:00:00"/>
    <x v="1"/>
    <n v="144731146"/>
    <n v="437382026"/>
    <n v="73"/>
  </r>
  <r>
    <n v="5"/>
    <s v="Focus improve especially"/>
    <x v="1"/>
    <n v="2021"/>
    <d v="2021-12-17T00:00:00"/>
    <x v="2"/>
    <n v="90091586"/>
    <n v="311301738"/>
    <n v="61"/>
  </r>
  <r>
    <n v="6"/>
    <s v="Deal reveal fine"/>
    <x v="2"/>
    <n v="1996"/>
    <d v="1996-05-09T00:00:00"/>
    <x v="1"/>
    <n v="635605811"/>
    <n v="123321927"/>
    <n v="89"/>
  </r>
  <r>
    <n v="7"/>
    <s v="Drug when"/>
    <x v="0"/>
    <n v="1991"/>
    <d v="1991-09-24T00:00:00"/>
    <x v="1"/>
    <n v="3088164004"/>
    <n v="616333227"/>
    <n v="36"/>
  </r>
  <r>
    <n v="8"/>
    <s v="Almost option of"/>
    <x v="3"/>
    <n v="1990"/>
    <d v="1990-08-04T00:00:00"/>
    <x v="1"/>
    <n v="524974892"/>
    <n v="605915685"/>
    <n v="73"/>
  </r>
  <r>
    <n v="9"/>
    <s v="Film about training"/>
    <x v="2"/>
    <n v="1983"/>
    <d v="1983-03-12T00:00:00"/>
    <x v="1"/>
    <n v="474621815"/>
    <n v="95061399"/>
    <n v="69"/>
  </r>
  <r>
    <n v="10"/>
    <s v="Begin difficult world"/>
    <x v="1"/>
    <n v="2005"/>
    <d v="2005-09-06T00:00:00"/>
    <x v="1"/>
    <n v="135468621"/>
    <n v="674706542"/>
    <n v="84"/>
  </r>
  <r>
    <n v="11"/>
    <s v="Eight"/>
    <x v="1"/>
    <n v="1999"/>
    <d v="1999-09-17T00:00:00"/>
    <x v="1"/>
    <n v="366720198"/>
    <n v="124904136"/>
    <n v="67"/>
  </r>
  <r>
    <n v="12"/>
    <s v="Score by attorney"/>
    <x v="0"/>
    <n v="2001"/>
    <d v="2001-06-29T00:00:00"/>
    <x v="2"/>
    <n v="99557882"/>
    <n v="377145073"/>
    <n v="87"/>
  </r>
  <r>
    <n v="13"/>
    <s v="Nice piece near"/>
    <x v="2"/>
    <n v="1984"/>
    <d v="1984-07-18T00:00:00"/>
    <x v="1"/>
    <n v="34745161"/>
    <n v="472039332"/>
    <n v="44"/>
  </r>
  <r>
    <n v="14"/>
    <s v="Among money"/>
    <x v="2"/>
    <n v="1967"/>
    <d v="1967-05-29T00:00:00"/>
    <x v="1"/>
    <n v="200346613"/>
    <n v="56181029"/>
    <n v="46"/>
  </r>
  <r>
    <n v="15"/>
    <s v="Purpose miss others show"/>
    <x v="4"/>
    <n v="1963"/>
    <d v="1963-08-18T00:00:00"/>
    <x v="1"/>
    <n v="850142016"/>
    <n v="909715427"/>
    <n v="65"/>
  </r>
  <r>
    <n v="16"/>
    <s v="Similar off"/>
    <x v="2"/>
    <n v="1983"/>
    <d v="1983-03-03T00:00:00"/>
    <x v="1"/>
    <n v="2562459173"/>
    <n v="6763992685"/>
    <n v="5"/>
  </r>
  <r>
    <n v="17"/>
    <s v="Accept past she somebody"/>
    <x v="3"/>
    <n v="2019"/>
    <d v="2019-04-07T00:00:00"/>
    <x v="1"/>
    <n v="2010987391"/>
    <n v="9671088385"/>
    <n v="42"/>
  </r>
  <r>
    <n v="18"/>
    <s v="Memory blue"/>
    <x v="5"/>
    <n v="1963"/>
    <d v="1963-09-04T00:00:00"/>
    <x v="1"/>
    <n v="403675647"/>
    <n v="1717225841"/>
    <n v="81"/>
  </r>
  <r>
    <n v="19"/>
    <s v="Sport just score"/>
    <x v="2"/>
    <n v="2009"/>
    <d v="2009-11-23T00:00:00"/>
    <x v="2"/>
    <n v="118435693"/>
    <n v="234452983"/>
    <n v="42"/>
  </r>
  <r>
    <n v="20"/>
    <s v="Mrs close hotel"/>
    <x v="0"/>
    <n v="2004"/>
    <d v="2004-04-05T00:00:00"/>
    <x v="1"/>
    <n v="1675708888"/>
    <n v="2695881272"/>
    <n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52611-DA9D-41EB-BE1E-5BBBDC481A4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9">
    <pivotField showAll="0"/>
    <pivotField showAll="0"/>
    <pivotField axis="axisRow" showAll="0">
      <items count="8">
        <item x="4"/>
        <item x="0"/>
        <item x="1"/>
        <item x="2"/>
        <item x="3"/>
        <item x="5"/>
        <item h="1" x="6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lobal_BoxOfficeUSD" fld="7" baseField="0" baseItem="0"/>
  </dataFields>
  <chartFormats count="2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856DE-7375-40B5-899F-0E0AA05BE9B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Global_BoxOfficeUSD" fld="7" subtotal="average" baseField="5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E5B39-892A-4BB0-B142-FB737636E71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9">
    <pivotField showAll="0"/>
    <pivotField showAll="0"/>
    <pivotField axis="axisRow" showAll="0">
      <items count="8">
        <item x="4"/>
        <item x="0"/>
        <item x="1"/>
        <item x="2"/>
        <item x="3"/>
        <item x="5"/>
        <item h="1" x="6"/>
        <item t="default"/>
      </items>
    </pivotField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Global_BoxOfficeUS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64133-D81E-4501-BAC1-D78643F18E71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H8" firstHeaderRow="1" firstDataRow="2" firstDataCol="1"/>
  <pivotFields count="9">
    <pivotField showAll="0"/>
    <pivotField showAll="0"/>
    <pivotField axis="axisCol" showAll="0">
      <items count="7">
        <item x="4"/>
        <item x="0"/>
        <item x="1"/>
        <item x="2"/>
        <item x="3"/>
        <item x="5"/>
        <item t="default"/>
      </items>
    </pivotField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Global_BoxOfficeUS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2662CA-4BD1-4F73-86CC-0763D3B49C36}" autoFormatId="16" applyNumberFormats="0" applyBorderFormats="0" applyFontFormats="0" applyPatternFormats="0" applyAlignmentFormats="0" applyWidthHeightFormats="0">
  <queryTableRefresh nextId="18">
    <queryTableFields count="9">
      <queryTableField id="1" name="MovieID" tableColumnId="1"/>
      <queryTableField id="2" name="Title" tableColumnId="2"/>
      <queryTableField id="3" name="Genre" tableColumnId="3"/>
      <queryTableField id="4" name="ReleaseYear" tableColumnId="4"/>
      <queryTableField id="5" name="ReleaseDate" tableColumnId="5"/>
      <queryTableField id="6" name="Country" tableColumnId="6"/>
      <queryTableField id="7" name="BudgetUSD" tableColumnId="7"/>
      <queryTableField id="9" name="Global_BoxOfficeUSD" tableColumnId="9"/>
      <queryTableField id="12" name="IMDbRating" tableColumnId="12"/>
    </queryTableFields>
    <queryTableDeletedFields count="8">
      <deletedField name="US_BoxOfficeUSD"/>
      <deletedField name="Opening_Day_SalesUSD"/>
      <deletedField name="One_Week_SalesUSD"/>
      <deletedField name="RottenTomatoesScore"/>
      <deletedField name="NumVotesIMDb"/>
      <deletedField name="NumVotesRT"/>
      <deletedField name="Director"/>
      <deletedField name="LeadAc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BE30F-7C7B-473F-AB7C-C3E9F5E7ABEB}" name="movies_datasethhh" displayName="movies_datasethhh" ref="A1:I21" tableType="queryTable" totalsRowShown="0">
  <autoFilter ref="A1:I21" xr:uid="{0F2BE30F-7C7B-473F-AB7C-C3E9F5E7ABEB}"/>
  <tableColumns count="9">
    <tableColumn id="1" xr3:uid="{053CF5C4-A495-4E8D-B181-32DF4501C10E}" uniqueName="1" name="MovieID" queryTableFieldId="1"/>
    <tableColumn id="2" xr3:uid="{9DE3D148-58BF-46E0-9F7C-B2A1A4A2763B}" uniqueName="2" name="Title" queryTableFieldId="2" dataDxfId="3"/>
    <tableColumn id="3" xr3:uid="{943BCAF4-2451-44B7-A83B-1D3EB45E3FF6}" uniqueName="3" name="Genre" queryTableFieldId="3" dataDxfId="2"/>
    <tableColumn id="4" xr3:uid="{C5DCD349-453A-4C13-A92B-309A8C2B4E88}" uniqueName="4" name="ReleaseYear" queryTableFieldId="4"/>
    <tableColumn id="5" xr3:uid="{3ECB04E6-BA27-448C-95CB-D7249DCE3C26}" uniqueName="5" name="ReleaseDate" queryTableFieldId="5" dataDxfId="1"/>
    <tableColumn id="6" xr3:uid="{665923DF-C7F1-48B3-9BF9-27AB4880D9C7}" uniqueName="6" name="Country" queryTableFieldId="6" dataDxfId="0"/>
    <tableColumn id="7" xr3:uid="{2511A643-30AE-453C-A3B6-CEA8997016D5}" uniqueName="7" name="BudgetUSD" queryTableFieldId="7"/>
    <tableColumn id="9" xr3:uid="{B1665CCC-3BAE-486D-915A-91205317D166}" uniqueName="9" name="Global_BoxOfficeUSD" queryTableFieldId="9"/>
    <tableColumn id="12" xr3:uid="{42B362A8-BD13-4656-BE3B-2C41F6A73EDA}" uniqueName="12" name="IMDbRating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61EE-03A8-47CC-9E14-AF6AEE4C32A9}">
  <dimension ref="A3:B10"/>
  <sheetViews>
    <sheetView workbookViewId="0">
      <selection activeCell="I21" sqref="I21"/>
    </sheetView>
  </sheetViews>
  <sheetFormatPr defaultRowHeight="14.5" x14ac:dyDescent="0.35"/>
  <cols>
    <col min="1" max="1" width="12.453125" bestFit="1" customWidth="1"/>
    <col min="2" max="2" width="25.36328125" bestFit="1" customWidth="1"/>
  </cols>
  <sheetData>
    <row r="3" spans="1:2" x14ac:dyDescent="0.35">
      <c r="A3" s="3" t="s">
        <v>38</v>
      </c>
      <c r="B3" t="s">
        <v>40</v>
      </c>
    </row>
    <row r="4" spans="1:2" x14ac:dyDescent="0.35">
      <c r="A4" s="4" t="s">
        <v>31</v>
      </c>
      <c r="B4" s="1">
        <v>909715427</v>
      </c>
    </row>
    <row r="5" spans="1:2" x14ac:dyDescent="0.35">
      <c r="A5" s="4" t="s">
        <v>10</v>
      </c>
      <c r="B5" s="1">
        <v>6754229400</v>
      </c>
    </row>
    <row r="6" spans="1:2" x14ac:dyDescent="0.35">
      <c r="A6" s="4" t="s">
        <v>17</v>
      </c>
      <c r="B6" s="1">
        <v>1110912416</v>
      </c>
    </row>
    <row r="7" spans="1:2" x14ac:dyDescent="0.35">
      <c r="A7" s="4" t="s">
        <v>20</v>
      </c>
      <c r="B7" s="1">
        <v>7745049355</v>
      </c>
    </row>
    <row r="8" spans="1:2" x14ac:dyDescent="0.35">
      <c r="A8" s="4" t="s">
        <v>23</v>
      </c>
      <c r="B8" s="1">
        <v>10277004070</v>
      </c>
    </row>
    <row r="9" spans="1:2" x14ac:dyDescent="0.35">
      <c r="A9" s="4" t="s">
        <v>35</v>
      </c>
      <c r="B9" s="1">
        <v>1717225841</v>
      </c>
    </row>
    <row r="10" spans="1:2" x14ac:dyDescent="0.35">
      <c r="A10" s="4" t="s">
        <v>39</v>
      </c>
      <c r="B10" s="1">
        <v>28514136509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C6CF-37C4-41EB-A614-DFB191D2FD97}">
  <dimension ref="A3:B7"/>
  <sheetViews>
    <sheetView tabSelected="1" workbookViewId="0">
      <selection activeCell="B18" sqref="B18"/>
    </sheetView>
  </sheetViews>
  <sheetFormatPr defaultRowHeight="14.5" x14ac:dyDescent="0.35"/>
  <cols>
    <col min="1" max="1" width="12.453125" bestFit="1" customWidth="1"/>
    <col min="2" max="2" width="28.08984375" bestFit="1" customWidth="1"/>
  </cols>
  <sheetData>
    <row r="3" spans="1:2" x14ac:dyDescent="0.35">
      <c r="A3" s="3" t="s">
        <v>38</v>
      </c>
      <c r="B3" t="s">
        <v>41</v>
      </c>
    </row>
    <row r="4" spans="1:2" x14ac:dyDescent="0.35">
      <c r="A4" s="4" t="s">
        <v>11</v>
      </c>
      <c r="B4" s="1">
        <v>1547203566</v>
      </c>
    </row>
    <row r="5" spans="1:2" x14ac:dyDescent="0.35">
      <c r="A5" s="4" t="s">
        <v>18</v>
      </c>
      <c r="B5" s="1">
        <v>307633264.66666669</v>
      </c>
    </row>
    <row r="6" spans="1:2" x14ac:dyDescent="0.35">
      <c r="A6" s="4" t="s">
        <v>13</v>
      </c>
      <c r="B6" s="1">
        <v>1627752071.8125</v>
      </c>
    </row>
    <row r="7" spans="1:2" x14ac:dyDescent="0.35">
      <c r="A7" s="4" t="s">
        <v>39</v>
      </c>
      <c r="B7" s="1">
        <v>1425706825.45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8988-6FC9-411F-BC49-F4D769A0EB54}">
  <dimension ref="A3:E11"/>
  <sheetViews>
    <sheetView workbookViewId="0">
      <selection activeCell="A3" sqref="A3"/>
    </sheetView>
  </sheetViews>
  <sheetFormatPr defaultRowHeight="14.5" x14ac:dyDescent="0.35"/>
  <cols>
    <col min="1" max="1" width="25.36328125" bestFit="1" customWidth="1"/>
    <col min="2" max="2" width="15.6328125" bestFit="1" customWidth="1"/>
    <col min="3" max="3" width="9.81640625" bestFit="1" customWidth="1"/>
    <col min="4" max="6" width="11.81640625" bestFit="1" customWidth="1"/>
  </cols>
  <sheetData>
    <row r="3" spans="1:5" x14ac:dyDescent="0.35">
      <c r="A3" s="3" t="s">
        <v>40</v>
      </c>
      <c r="B3" s="3" t="s">
        <v>42</v>
      </c>
    </row>
    <row r="4" spans="1:5" x14ac:dyDescent="0.35">
      <c r="A4" s="3" t="s">
        <v>38</v>
      </c>
      <c r="B4" t="s">
        <v>11</v>
      </c>
      <c r="C4" t="s">
        <v>18</v>
      </c>
      <c r="D4" t="s">
        <v>13</v>
      </c>
      <c r="E4" t="s">
        <v>39</v>
      </c>
    </row>
    <row r="5" spans="1:5" x14ac:dyDescent="0.35">
      <c r="A5" s="4" t="s">
        <v>31</v>
      </c>
      <c r="B5" s="1"/>
      <c r="C5" s="1"/>
      <c r="D5" s="1">
        <v>909715427</v>
      </c>
      <c r="E5" s="1">
        <v>909715427</v>
      </c>
    </row>
    <row r="6" spans="1:5" x14ac:dyDescent="0.35">
      <c r="A6" s="4" t="s">
        <v>10</v>
      </c>
      <c r="B6" s="1">
        <v>1547203566</v>
      </c>
      <c r="C6" s="1">
        <v>377145073</v>
      </c>
      <c r="D6" s="1">
        <v>4829880761</v>
      </c>
      <c r="E6" s="1">
        <v>6754229400</v>
      </c>
    </row>
    <row r="7" spans="1:5" x14ac:dyDescent="0.35">
      <c r="A7" s="4" t="s">
        <v>17</v>
      </c>
      <c r="B7" s="1"/>
      <c r="C7" s="1">
        <v>311301738</v>
      </c>
      <c r="D7" s="1">
        <v>799610678</v>
      </c>
      <c r="E7" s="1">
        <v>1110912416</v>
      </c>
    </row>
    <row r="8" spans="1:5" x14ac:dyDescent="0.35">
      <c r="A8" s="4" t="s">
        <v>20</v>
      </c>
      <c r="B8" s="1"/>
      <c r="C8" s="1">
        <v>234452983</v>
      </c>
      <c r="D8" s="1">
        <v>7510596372</v>
      </c>
      <c r="E8" s="1">
        <v>7745049355</v>
      </c>
    </row>
    <row r="9" spans="1:5" x14ac:dyDescent="0.35">
      <c r="A9" s="4" t="s">
        <v>23</v>
      </c>
      <c r="B9" s="1"/>
      <c r="C9" s="1"/>
      <c r="D9" s="1">
        <v>10277004070</v>
      </c>
      <c r="E9" s="1">
        <v>10277004070</v>
      </c>
    </row>
    <row r="10" spans="1:5" x14ac:dyDescent="0.35">
      <c r="A10" s="4" t="s">
        <v>35</v>
      </c>
      <c r="B10" s="1"/>
      <c r="C10" s="1"/>
      <c r="D10" s="1">
        <v>1717225841</v>
      </c>
      <c r="E10" s="1">
        <v>1717225841</v>
      </c>
    </row>
    <row r="11" spans="1:5" x14ac:dyDescent="0.35">
      <c r="A11" s="4" t="s">
        <v>39</v>
      </c>
      <c r="B11" s="1">
        <v>1547203566</v>
      </c>
      <c r="C11" s="1">
        <v>922899794</v>
      </c>
      <c r="D11" s="1">
        <v>26044033149</v>
      </c>
      <c r="E11" s="1">
        <v>28514136509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FAA7-69BC-44C7-AD1E-053EA1F43820}">
  <dimension ref="A3:H8"/>
  <sheetViews>
    <sheetView workbookViewId="0">
      <selection activeCell="A3" sqref="A3"/>
    </sheetView>
  </sheetViews>
  <sheetFormatPr defaultRowHeight="14.5" x14ac:dyDescent="0.35"/>
  <cols>
    <col min="1" max="1" width="25.36328125" bestFit="1" customWidth="1"/>
    <col min="2" max="2" width="15.6328125" bestFit="1" customWidth="1"/>
    <col min="3" max="3" width="10.81640625" bestFit="1" customWidth="1"/>
    <col min="4" max="4" width="12.08984375" bestFit="1" customWidth="1"/>
    <col min="5" max="5" width="10.81640625" bestFit="1" customWidth="1"/>
    <col min="6" max="6" width="11.81640625" bestFit="1" customWidth="1"/>
    <col min="7" max="7" width="10.81640625" bestFit="1" customWidth="1"/>
    <col min="8" max="8" width="11.81640625" bestFit="1" customWidth="1"/>
  </cols>
  <sheetData>
    <row r="3" spans="1:8" x14ac:dyDescent="0.35">
      <c r="A3" s="3" t="s">
        <v>40</v>
      </c>
      <c r="B3" s="3" t="s">
        <v>42</v>
      </c>
    </row>
    <row r="4" spans="1:8" x14ac:dyDescent="0.35">
      <c r="A4" s="3" t="s">
        <v>38</v>
      </c>
      <c r="B4" t="s">
        <v>31</v>
      </c>
      <c r="C4" t="s">
        <v>10</v>
      </c>
      <c r="D4" t="s">
        <v>17</v>
      </c>
      <c r="E4" t="s">
        <v>20</v>
      </c>
      <c r="F4" t="s">
        <v>23</v>
      </c>
      <c r="G4" t="s">
        <v>35</v>
      </c>
      <c r="H4" t="s">
        <v>39</v>
      </c>
    </row>
    <row r="5" spans="1:8" x14ac:dyDescent="0.35">
      <c r="A5" s="4" t="s">
        <v>11</v>
      </c>
      <c r="B5" s="1"/>
      <c r="C5" s="1">
        <v>1547203566</v>
      </c>
      <c r="D5" s="1"/>
      <c r="E5" s="1"/>
      <c r="F5" s="1"/>
      <c r="G5" s="1"/>
      <c r="H5" s="1">
        <v>1547203566</v>
      </c>
    </row>
    <row r="6" spans="1:8" x14ac:dyDescent="0.35">
      <c r="A6" s="4" t="s">
        <v>18</v>
      </c>
      <c r="B6" s="1"/>
      <c r="C6" s="1">
        <v>377145073</v>
      </c>
      <c r="D6" s="1">
        <v>311301738</v>
      </c>
      <c r="E6" s="1">
        <v>234452983</v>
      </c>
      <c r="F6" s="1"/>
      <c r="G6" s="1"/>
      <c r="H6" s="1">
        <v>922899794</v>
      </c>
    </row>
    <row r="7" spans="1:8" x14ac:dyDescent="0.35">
      <c r="A7" s="4" t="s">
        <v>13</v>
      </c>
      <c r="B7" s="1">
        <v>909715427</v>
      </c>
      <c r="C7" s="1">
        <v>4829880761</v>
      </c>
      <c r="D7" s="1">
        <v>799610678</v>
      </c>
      <c r="E7" s="1">
        <v>7510596372</v>
      </c>
      <c r="F7" s="1">
        <v>10277004070</v>
      </c>
      <c r="G7" s="1">
        <v>1717225841</v>
      </c>
      <c r="H7" s="1">
        <v>26044033149</v>
      </c>
    </row>
    <row r="8" spans="1:8" x14ac:dyDescent="0.35">
      <c r="A8" s="4" t="s">
        <v>39</v>
      </c>
      <c r="B8" s="1">
        <v>909715427</v>
      </c>
      <c r="C8" s="1">
        <v>6754229400</v>
      </c>
      <c r="D8" s="1">
        <v>1110912416</v>
      </c>
      <c r="E8" s="1">
        <v>7745049355</v>
      </c>
      <c r="F8" s="1">
        <v>10277004070</v>
      </c>
      <c r="G8" s="1">
        <v>1717225841</v>
      </c>
      <c r="H8" s="1">
        <v>28514136509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1708-3F2A-4AE5-8F20-7BB86932AEA0}">
  <dimension ref="A1:J26"/>
  <sheetViews>
    <sheetView zoomScale="48" workbookViewId="0">
      <selection activeCell="C41" sqref="C41"/>
    </sheetView>
  </sheetViews>
  <sheetFormatPr defaultRowHeight="14.5" x14ac:dyDescent="0.35"/>
  <cols>
    <col min="1" max="1" width="9.81640625" bestFit="1" customWidth="1"/>
    <col min="2" max="2" width="22.6328125" bestFit="1" customWidth="1"/>
    <col min="3" max="3" width="11.7265625" bestFit="1" customWidth="1"/>
    <col min="4" max="4" width="13.453125" bestFit="1" customWidth="1"/>
    <col min="5" max="5" width="13.6328125" bestFit="1" customWidth="1"/>
    <col min="6" max="6" width="9.7265625" bestFit="1" customWidth="1"/>
    <col min="7" max="7" width="12.54296875" bestFit="1" customWidth="1"/>
    <col min="8" max="8" width="18.08984375" bestFit="1" customWidth="1"/>
    <col min="9" max="9" width="21.26953125" bestFit="1" customWidth="1"/>
    <col min="10" max="10" width="23.36328125" bestFit="1" customWidth="1"/>
    <col min="11" max="11" width="21.08984375" bestFit="1" customWidth="1"/>
    <col min="12" max="12" width="12.81640625" bestFit="1" customWidth="1"/>
    <col min="13" max="13" width="21.6328125" bestFit="1" customWidth="1"/>
    <col min="14" max="14" width="16.1796875" bestFit="1" customWidth="1"/>
    <col min="15" max="15" width="13.81640625" bestFit="1" customWidth="1"/>
    <col min="16" max="16" width="16.08984375" bestFit="1" customWidth="1"/>
    <col min="17" max="17" width="17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 t="s">
        <v>9</v>
      </c>
      <c r="C2" s="1" t="s">
        <v>10</v>
      </c>
      <c r="D2">
        <v>2003</v>
      </c>
      <c r="E2" s="2">
        <v>37892</v>
      </c>
      <c r="F2" s="1" t="s">
        <v>11</v>
      </c>
      <c r="G2">
        <v>657742779</v>
      </c>
      <c r="H2">
        <v>1547203566</v>
      </c>
      <c r="I2">
        <v>62</v>
      </c>
    </row>
    <row r="3" spans="1:9" x14ac:dyDescent="0.35">
      <c r="A3">
        <v>2</v>
      </c>
      <c r="B3" s="1" t="s">
        <v>12</v>
      </c>
      <c r="C3" s="1" t="s">
        <v>10</v>
      </c>
      <c r="D3">
        <v>1988</v>
      </c>
      <c r="E3" s="2">
        <v>32187</v>
      </c>
      <c r="F3" s="1" t="s">
        <v>13</v>
      </c>
      <c r="G3">
        <v>18838101</v>
      </c>
      <c r="H3">
        <v>363773112</v>
      </c>
      <c r="I3">
        <v>52</v>
      </c>
    </row>
    <row r="4" spans="1:9" x14ac:dyDescent="0.35">
      <c r="A4">
        <v>3</v>
      </c>
      <c r="B4" s="1" t="s">
        <v>14</v>
      </c>
      <c r="C4" s="1" t="s">
        <v>10</v>
      </c>
      <c r="D4">
        <v>1971</v>
      </c>
      <c r="E4" s="2">
        <v>26239</v>
      </c>
      <c r="F4" s="1" t="s">
        <v>13</v>
      </c>
      <c r="G4">
        <v>246807929</v>
      </c>
      <c r="H4">
        <v>716511124</v>
      </c>
      <c r="I4">
        <v>55</v>
      </c>
    </row>
    <row r="5" spans="1:9" x14ac:dyDescent="0.35">
      <c r="A5">
        <v>4</v>
      </c>
      <c r="B5" s="1" t="s">
        <v>15</v>
      </c>
      <c r="C5" s="1" t="s">
        <v>10</v>
      </c>
      <c r="D5">
        <v>1998</v>
      </c>
      <c r="E5" s="2">
        <v>36013</v>
      </c>
      <c r="F5" s="1" t="s">
        <v>13</v>
      </c>
      <c r="G5">
        <v>144731146</v>
      </c>
      <c r="H5">
        <v>437382026</v>
      </c>
      <c r="I5">
        <v>73</v>
      </c>
    </row>
    <row r="6" spans="1:9" x14ac:dyDescent="0.35">
      <c r="A6">
        <v>5</v>
      </c>
      <c r="B6" s="1" t="s">
        <v>16</v>
      </c>
      <c r="C6" s="1" t="s">
        <v>17</v>
      </c>
      <c r="D6">
        <v>2021</v>
      </c>
      <c r="E6" s="2">
        <v>44547</v>
      </c>
      <c r="F6" s="1" t="s">
        <v>18</v>
      </c>
      <c r="G6">
        <v>90091586</v>
      </c>
      <c r="H6">
        <v>311301738</v>
      </c>
      <c r="I6">
        <v>61</v>
      </c>
    </row>
    <row r="7" spans="1:9" x14ac:dyDescent="0.35">
      <c r="A7">
        <v>6</v>
      </c>
      <c r="B7" s="1" t="s">
        <v>19</v>
      </c>
      <c r="C7" s="1" t="s">
        <v>20</v>
      </c>
      <c r="D7">
        <v>1996</v>
      </c>
      <c r="E7" s="2">
        <v>35194</v>
      </c>
      <c r="F7" s="1" t="s">
        <v>13</v>
      </c>
      <c r="G7">
        <v>635605811</v>
      </c>
      <c r="H7">
        <v>123321927</v>
      </c>
      <c r="I7">
        <v>89</v>
      </c>
    </row>
    <row r="8" spans="1:9" x14ac:dyDescent="0.35">
      <c r="A8">
        <v>7</v>
      </c>
      <c r="B8" s="1" t="s">
        <v>21</v>
      </c>
      <c r="C8" s="1" t="s">
        <v>10</v>
      </c>
      <c r="D8">
        <v>1991</v>
      </c>
      <c r="E8" s="2">
        <v>33505</v>
      </c>
      <c r="F8" s="1" t="s">
        <v>13</v>
      </c>
      <c r="G8">
        <v>3088164004</v>
      </c>
      <c r="H8">
        <v>616333227</v>
      </c>
      <c r="I8">
        <v>36</v>
      </c>
    </row>
    <row r="9" spans="1:9" x14ac:dyDescent="0.35">
      <c r="A9">
        <v>8</v>
      </c>
      <c r="B9" s="1" t="s">
        <v>22</v>
      </c>
      <c r="C9" s="1" t="s">
        <v>23</v>
      </c>
      <c r="D9">
        <v>1990</v>
      </c>
      <c r="E9" s="2">
        <v>33089</v>
      </c>
      <c r="F9" s="1" t="s">
        <v>13</v>
      </c>
      <c r="G9">
        <v>524974892</v>
      </c>
      <c r="H9">
        <v>605915685</v>
      </c>
      <c r="I9">
        <v>73</v>
      </c>
    </row>
    <row r="10" spans="1:9" x14ac:dyDescent="0.35">
      <c r="A10">
        <v>9</v>
      </c>
      <c r="B10" s="1" t="s">
        <v>24</v>
      </c>
      <c r="C10" s="1" t="s">
        <v>20</v>
      </c>
      <c r="D10">
        <v>1983</v>
      </c>
      <c r="E10" s="2">
        <v>30387</v>
      </c>
      <c r="F10" s="1" t="s">
        <v>13</v>
      </c>
      <c r="G10">
        <v>474621815</v>
      </c>
      <c r="H10">
        <v>95061399</v>
      </c>
      <c r="I10">
        <v>69</v>
      </c>
    </row>
    <row r="11" spans="1:9" x14ac:dyDescent="0.35">
      <c r="A11">
        <v>10</v>
      </c>
      <c r="B11" s="1" t="s">
        <v>25</v>
      </c>
      <c r="C11" s="1" t="s">
        <v>17</v>
      </c>
      <c r="D11">
        <v>2005</v>
      </c>
      <c r="E11" s="2">
        <v>38601</v>
      </c>
      <c r="F11" s="1" t="s">
        <v>13</v>
      </c>
      <c r="G11">
        <v>135468621</v>
      </c>
      <c r="H11">
        <v>674706542</v>
      </c>
      <c r="I11">
        <v>84</v>
      </c>
    </row>
    <row r="12" spans="1:9" x14ac:dyDescent="0.35">
      <c r="A12">
        <v>11</v>
      </c>
      <c r="B12" s="1" t="s">
        <v>26</v>
      </c>
      <c r="C12" s="1" t="s">
        <v>17</v>
      </c>
      <c r="D12">
        <v>1999</v>
      </c>
      <c r="E12" s="2">
        <v>36420</v>
      </c>
      <c r="F12" s="1" t="s">
        <v>13</v>
      </c>
      <c r="G12">
        <v>366720198</v>
      </c>
      <c r="H12">
        <v>124904136</v>
      </c>
      <c r="I12">
        <v>67</v>
      </c>
    </row>
    <row r="13" spans="1:9" x14ac:dyDescent="0.35">
      <c r="A13">
        <v>12</v>
      </c>
      <c r="B13" s="1" t="s">
        <v>27</v>
      </c>
      <c r="C13" s="1" t="s">
        <v>10</v>
      </c>
      <c r="D13">
        <v>2001</v>
      </c>
      <c r="E13" s="2">
        <v>37071</v>
      </c>
      <c r="F13" s="1" t="s">
        <v>18</v>
      </c>
      <c r="G13">
        <v>99557882</v>
      </c>
      <c r="H13">
        <v>377145073</v>
      </c>
      <c r="I13">
        <v>87</v>
      </c>
    </row>
    <row r="14" spans="1:9" x14ac:dyDescent="0.35">
      <c r="A14">
        <v>13</v>
      </c>
      <c r="B14" s="1" t="s">
        <v>28</v>
      </c>
      <c r="C14" s="1" t="s">
        <v>20</v>
      </c>
      <c r="D14">
        <v>1984</v>
      </c>
      <c r="E14" s="2">
        <v>30881</v>
      </c>
      <c r="F14" s="1" t="s">
        <v>13</v>
      </c>
      <c r="G14">
        <v>34745161</v>
      </c>
      <c r="H14">
        <v>472039332</v>
      </c>
      <c r="I14">
        <v>44</v>
      </c>
    </row>
    <row r="15" spans="1:9" x14ac:dyDescent="0.35">
      <c r="A15">
        <v>14</v>
      </c>
      <c r="B15" s="1" t="s">
        <v>29</v>
      </c>
      <c r="C15" s="1" t="s">
        <v>20</v>
      </c>
      <c r="D15">
        <v>1967</v>
      </c>
      <c r="E15" s="2">
        <v>24621</v>
      </c>
      <c r="F15" s="1" t="s">
        <v>13</v>
      </c>
      <c r="G15">
        <v>200346613</v>
      </c>
      <c r="H15">
        <v>56181029</v>
      </c>
      <c r="I15">
        <v>46</v>
      </c>
    </row>
    <row r="16" spans="1:9" x14ac:dyDescent="0.35">
      <c r="A16">
        <v>15</v>
      </c>
      <c r="B16" s="1" t="s">
        <v>30</v>
      </c>
      <c r="C16" s="1" t="s">
        <v>31</v>
      </c>
      <c r="D16">
        <v>1963</v>
      </c>
      <c r="E16" s="2">
        <v>23241</v>
      </c>
      <c r="F16" s="1" t="s">
        <v>13</v>
      </c>
      <c r="G16">
        <v>850142016</v>
      </c>
      <c r="H16">
        <v>909715427</v>
      </c>
      <c r="I16">
        <v>65</v>
      </c>
    </row>
    <row r="17" spans="1:10" x14ac:dyDescent="0.35">
      <c r="A17">
        <v>16</v>
      </c>
      <c r="B17" s="1" t="s">
        <v>32</v>
      </c>
      <c r="C17" s="1" t="s">
        <v>20</v>
      </c>
      <c r="D17">
        <v>1983</v>
      </c>
      <c r="E17" s="2">
        <v>30378</v>
      </c>
      <c r="F17" s="1" t="s">
        <v>13</v>
      </c>
      <c r="G17">
        <v>2562459173</v>
      </c>
      <c r="H17">
        <v>6763992685</v>
      </c>
      <c r="I17">
        <v>5</v>
      </c>
    </row>
    <row r="18" spans="1:10" x14ac:dyDescent="0.35">
      <c r="A18">
        <v>17</v>
      </c>
      <c r="B18" s="1" t="s">
        <v>33</v>
      </c>
      <c r="C18" s="1" t="s">
        <v>23</v>
      </c>
      <c r="D18">
        <v>2019</v>
      </c>
      <c r="E18" s="2">
        <v>43562</v>
      </c>
      <c r="F18" s="1" t="s">
        <v>13</v>
      </c>
      <c r="G18">
        <v>2010987391</v>
      </c>
      <c r="H18">
        <v>9671088385</v>
      </c>
      <c r="I18">
        <v>42</v>
      </c>
    </row>
    <row r="19" spans="1:10" x14ac:dyDescent="0.35">
      <c r="A19">
        <v>18</v>
      </c>
      <c r="B19" s="1" t="s">
        <v>34</v>
      </c>
      <c r="C19" s="1" t="s">
        <v>35</v>
      </c>
      <c r="D19">
        <v>1963</v>
      </c>
      <c r="E19" s="2">
        <v>23258</v>
      </c>
      <c r="F19" s="1" t="s">
        <v>13</v>
      </c>
      <c r="G19">
        <v>403675647</v>
      </c>
      <c r="H19">
        <v>1717225841</v>
      </c>
      <c r="I19">
        <v>81</v>
      </c>
    </row>
    <row r="20" spans="1:10" x14ac:dyDescent="0.35">
      <c r="A20">
        <v>19</v>
      </c>
      <c r="B20" s="1" t="s">
        <v>36</v>
      </c>
      <c r="C20" s="1" t="s">
        <v>20</v>
      </c>
      <c r="D20">
        <v>2009</v>
      </c>
      <c r="E20" s="2">
        <v>40140</v>
      </c>
      <c r="F20" s="1" t="s">
        <v>18</v>
      </c>
      <c r="G20">
        <v>118435693</v>
      </c>
      <c r="H20">
        <v>234452983</v>
      </c>
      <c r="I20">
        <v>42</v>
      </c>
    </row>
    <row r="21" spans="1:10" x14ac:dyDescent="0.35">
      <c r="A21">
        <v>20</v>
      </c>
      <c r="B21" s="1" t="s">
        <v>37</v>
      </c>
      <c r="C21" s="1" t="s">
        <v>10</v>
      </c>
      <c r="D21">
        <v>2004</v>
      </c>
      <c r="E21" s="2">
        <v>38082</v>
      </c>
      <c r="F21" s="1" t="s">
        <v>13</v>
      </c>
      <c r="G21">
        <v>1675708888</v>
      </c>
      <c r="H21">
        <v>2695881272</v>
      </c>
      <c r="I21">
        <v>74</v>
      </c>
    </row>
    <row r="23" spans="1:10" x14ac:dyDescent="0.35">
      <c r="G23">
        <f>AVERAGE(G2:G21)</f>
        <v>716991267.29999995</v>
      </c>
      <c r="H23">
        <f>AVERAGE(H2:H21)</f>
        <v>1425706825.45</v>
      </c>
      <c r="I23">
        <f>AVERAGE(I2:I21)</f>
        <v>60.35</v>
      </c>
      <c r="J23" t="s">
        <v>43</v>
      </c>
    </row>
    <row r="24" spans="1:10" x14ac:dyDescent="0.35">
      <c r="G24">
        <f>MEDIAN(G2:G21)</f>
        <v>385197922.5</v>
      </c>
      <c r="H24">
        <f>MEDIAN(H2:H21)</f>
        <v>538977508.5</v>
      </c>
      <c r="I24">
        <f>MEDIAN(I2:I21)</f>
        <v>63.5</v>
      </c>
      <c r="J24" t="s">
        <v>44</v>
      </c>
    </row>
    <row r="25" spans="1:10" x14ac:dyDescent="0.35">
      <c r="I25">
        <f>_xlfn.MODE.SNGL(I2:I21)</f>
        <v>73</v>
      </c>
      <c r="J25" t="s">
        <v>45</v>
      </c>
    </row>
    <row r="26" spans="1:10" x14ac:dyDescent="0.35">
      <c r="G26">
        <f>_xlfn.STDEV.S(G2:G21)</f>
        <v>894578056.65418816</v>
      </c>
      <c r="H26">
        <f>_xlfn.STDEV.S(H2:H21)</f>
        <v>2456634414.8917913</v>
      </c>
      <c r="I26">
        <f>_xlfn.STDEV.S(I2:I21)</f>
        <v>20.607293037072814</v>
      </c>
      <c r="J26" t="s">
        <v>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7C0B-16C5-4B8E-B3CA-16B7F7A2ACA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3712CAD66A0949BED7AE1BA1835B06" ma:contentTypeVersion="4" ma:contentTypeDescription="Create a new document." ma:contentTypeScope="" ma:versionID="2a735964a5c071587d791e06765fc6e4">
  <xsd:schema xmlns:xsd="http://www.w3.org/2001/XMLSchema" xmlns:xs="http://www.w3.org/2001/XMLSchema" xmlns:p="http://schemas.microsoft.com/office/2006/metadata/properties" xmlns:ns3="0edd7599-5ad3-4d78-a38b-0d0cc9717919" targetNamespace="http://schemas.microsoft.com/office/2006/metadata/properties" ma:root="true" ma:fieldsID="88bc830ff7081e70d7fae388e09b481f" ns3:_="">
    <xsd:import namespace="0edd7599-5ad3-4d78-a38b-0d0cc97179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d7599-5ad3-4d78-a38b-0d0cc97179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563470-4FB7-4E2C-A7C1-5EB273D74BF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BBB4EC6-BE3A-4A24-B5D2-993F38668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d7599-5ad3-4d78-a38b-0d0cc97179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82F15A-CF45-4A17-8FB7-F2549A825A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78CBEF-F131-4C48-A258-3E8BEAAE443F}">
  <ds:schemaRefs>
    <ds:schemaRef ds:uri="0edd7599-5ad3-4d78-a38b-0d0cc9717919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movies_datasethhh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Raffli</dc:creator>
  <cp:lastModifiedBy>Muhammad Raffli</cp:lastModifiedBy>
  <dcterms:created xsi:type="dcterms:W3CDTF">2025-09-24T15:20:15Z</dcterms:created>
  <dcterms:modified xsi:type="dcterms:W3CDTF">2025-09-24T19:59:54Z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0x010100CD3712CAD66A0949BED7AE1BA1835B06</vt:lpwstr>
  </property>
</Properties>
</file>